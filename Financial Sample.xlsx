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auri\OneDrive\Documentos\LAURISTON\CURSOS\BANCO DE DADOS\EXCEL\PLANILHAS DE SITES\financial sample\"/>
    </mc:Choice>
  </mc:AlternateContent>
  <xr:revisionPtr revIDLastSave="0" documentId="13_ncr:1_{783C3DBF-609C-4F05-82F2-361B4DD541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LATORIOS" sheetId="7" r:id="rId1"/>
    <sheet name="Sheet1" sheetId="6" r:id="rId2"/>
  </sheets>
  <definedNames>
    <definedName name="_xlcn.WorksheetConnection_FinancialSample.xlsxfinancials1" hidden="1">financials[]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inancials" name="financials" connection="WorksheetConnection_Financial Sample.xlsx!financial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0F619F-C5BC-4AAF-B3BA-473F25A6D20F}" keepAlive="1" name="ThisWorkbookDataModel" description="Modelo de Dad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B992002-C3F8-4D4D-A4F0-4CD5DC0BA67B}" name="WorksheetConnection_Financial Sample.xlsx!financials" type="102" refreshedVersion="8" minRefreshableVersion="5">
    <extLst>
      <ext xmlns:x15="http://schemas.microsoft.com/office/spreadsheetml/2010/11/main" uri="{DE250136-89BD-433C-8126-D09CA5730AF9}">
        <x15:connection id="financials">
          <x15:rangePr sourceName="_xlcn.WorksheetConnection_FinancialSample.xlsxfinancials1"/>
        </x15:connection>
      </ext>
    </extLst>
  </connection>
</connections>
</file>

<file path=xl/sharedStrings.xml><?xml version="1.0" encoding="utf-8"?>
<sst xmlns="http://schemas.openxmlformats.org/spreadsheetml/2006/main" count="4235" uniqueCount="60">
  <si>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</si>
  <si>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</si>
  <si>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</si>
  <si>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</si>
  <si>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</si>
  <si>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</si>
  <si>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</si>
  <si>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</si>
  <si>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</si>
  <si>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</si>
  <si>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</si>
  <si>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</si>
  <si>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</si>
  <si>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</si>
  <si>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</si>
  <si>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</si>
  <si>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</si>
  <si>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</si>
  <si>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</si>
  <si>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</si>
  <si>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</si>
  <si>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</si>
  <si>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</si>
  <si>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</si>
  <si>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</si>
  <si>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</si>
  <si>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</si>
  <si>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</si>
  <si>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</si>
  <si>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</si>
  <si>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</si>
  <si>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</si>
  <si>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</si>
  <si>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</si>
  <si>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</si>
  <si>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</si>
  <si>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</si>
  <si>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</si>
  <si>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</si>
  <si>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</si>
  <si>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</si>
  <si>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</si>
  <si>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</si>
  <si>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</si>
  <si>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</si>
  <si>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</si>
  <si>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</si>
  <si>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</si>
  <si>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</si>
  <si>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</si>
  <si>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Total Geral</t>
  </si>
  <si>
    <t>LUCRO_LIQ</t>
  </si>
  <si>
    <t>PRODUTOS</t>
  </si>
  <si>
    <t>Ranking_Lucro</t>
  </si>
  <si>
    <t>ABC_ACUM</t>
  </si>
  <si>
    <t>CURVA_ABC</t>
  </si>
  <si>
    <t>Classe A</t>
  </si>
  <si>
    <t>Classe C</t>
  </si>
  <si>
    <t>Classe B</t>
  </si>
  <si>
    <t>%_LUCRO_PROD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</si>
</sst>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7" formatCode="&quot;R$&quot;\ #,##0.00;\-&quot;R$&quot;\ #,##0.00"/>
    <numFmt numFmtId="164" formatCode="_(&quot;$&quot;* #,##0.00_);_(&quot;$&quot;* \(#,##0.00\);_(&quot;$&quot;* &quot;-&quot;??_);_(@_)"/>
    <numFmt numFmtId="165" formatCode="m/d/yy\ h:mm;@"/>
    <numFmt numFmtId="166" formatCode="0.00%;\-0.00%;0.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9" fontId="0" fillId="0" borderId="0" xfId="2" applyFont="1" applyAlignment="1">
      <alignment horizontal="center"/>
    </xf>
    <xf numFmtId="7" fontId="0" fillId="0" borderId="0" xfId="0" applyNumberFormat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1" defaultTableStyle="TableStyleMedium2" defaultPivotStyle="PivotStyleLight16">
    <tableStyle name="Invisible" pivot="0" table="0" count="0" xr9:uid="{E81CC5B3-665F-429B-BCE4-80FDF27B26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[Financial Sample.xlsx]RELATORIOS!Tabela dinâmica1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CURVA ABC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solidFill>
              <a:schemeClr val="accent2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RELATORIOS!$C$2</c:f>
              <c:strCache>
                <c:ptCount val="1"/>
                <c:pt idx="0">
                  <c:v>LUCRO_LIQ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RELATORIOS!$B$3:$B$9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Amarilla</c:v>
                </c:pt>
                <c:pt idx="3">
                  <c:v>Velo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RELATORIOS!$C$3:$C$9</c:f>
              <c:numCache>
                <c:formatCode>"R$"#,##0.00_);\("R$"#,##0.00\)</c:formatCode>
                <c:ptCount val="6"/>
                <c:pt idx="0">
                  <c:v>7397956</c:v>
                </c:pt>
                <c:pt idx="1">
                  <c:v>4491220.5</c:v>
                </c:pt>
                <c:pt idx="2">
                  <c:v>4104267.5</c:v>
                </c:pt>
                <c:pt idx="3">
                  <c:v>3882701.5</c:v>
                </c:pt>
                <c:pt idx="4">
                  <c:v>3273787.5</c:v>
                </c:pt>
                <c:pt idx="5">
                  <c:v>2949017.5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D-41AD-8B2B-44A353B7F02B}"/>
            </c:ext>
          </c:extLst>
        </c:ser>
        <c:ser>
          <c:idx val="1"/>
          <c:order val="1"/>
          <c:tx>
            <c:strRef>
              <c:f>RELATORIOS!$D$2</c:f>
              <c:strCache>
                <c:ptCount val="1"/>
                <c:pt idx="0">
                  <c:v>Ranking_Lucro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RELATORIOS!$B$3:$B$9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Amarilla</c:v>
                </c:pt>
                <c:pt idx="3">
                  <c:v>Velo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RELATORIOS!$D$3:$D$9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4D-41AD-8B2B-44A353B7F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0"/>
        <c:overlap val="-27"/>
        <c:axId val="248746032"/>
        <c:axId val="705863856"/>
      </c:barChart>
      <c:barChart>
        <c:barDir val="col"/>
        <c:grouping val="clustered"/>
        <c:varyColors val="0"/>
        <c:ser>
          <c:idx val="2"/>
          <c:order val="2"/>
          <c:tx>
            <c:strRef>
              <c:f>RELATORIOS!$E$2</c:f>
              <c:strCache>
                <c:ptCount val="1"/>
                <c:pt idx="0">
                  <c:v>ABC_ACUM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RELATORIOS!$B$3:$B$9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Amarilla</c:v>
                </c:pt>
                <c:pt idx="3">
                  <c:v>Velo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RELATORIOS!$E$3:$E$9</c:f>
              <c:numCache>
                <c:formatCode>0.00%;\-0.00%;0.00%</c:formatCode>
                <c:ptCount val="6"/>
                <c:pt idx="0">
                  <c:v>0.28345798809036404</c:v>
                </c:pt>
                <c:pt idx="1">
                  <c:v>0.4555423215197868</c:v>
                </c:pt>
                <c:pt idx="2">
                  <c:v>0.61280027332899845</c:v>
                </c:pt>
                <c:pt idx="3">
                  <c:v>0.7615687649968913</c:v>
                </c:pt>
                <c:pt idx="4">
                  <c:v>0.88700628019506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4D-41AD-8B2B-44A353B7F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0"/>
        <c:overlap val="-27"/>
        <c:axId val="248730256"/>
        <c:axId val="705858576"/>
      </c:barChart>
      <c:lineChart>
        <c:grouping val="standard"/>
        <c:varyColors val="0"/>
        <c:ser>
          <c:idx val="3"/>
          <c:order val="3"/>
          <c:tx>
            <c:strRef>
              <c:f>RELATORIOS!$F$2</c:f>
              <c:strCache>
                <c:ptCount val="1"/>
                <c:pt idx="0">
                  <c:v>CURVA_ABC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RELATORIOS!$B$3:$B$9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Amarilla</c:v>
                </c:pt>
                <c:pt idx="3">
                  <c:v>Velo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RELATORIOS!$F$3:$F$9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4D-41AD-8B2B-44A353B7F02B}"/>
            </c:ext>
          </c:extLst>
        </c:ser>
        <c:ser>
          <c:idx val="4"/>
          <c:order val="4"/>
          <c:tx>
            <c:strRef>
              <c:f>RELATORIOS!$G$2</c:f>
              <c:strCache>
                <c:ptCount val="1"/>
                <c:pt idx="0">
                  <c:v>%_LUCRO_PROD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RELATORIOS!$B$3:$B$9</c:f>
              <c:strCache>
                <c:ptCount val="6"/>
                <c:pt idx="0">
                  <c:v>Paseo</c:v>
                </c:pt>
                <c:pt idx="1">
                  <c:v>VTT</c:v>
                </c:pt>
                <c:pt idx="2">
                  <c:v>Amarilla</c:v>
                </c:pt>
                <c:pt idx="3">
                  <c:v>Velo</c:v>
                </c:pt>
                <c:pt idx="4">
                  <c:v>Montana</c:v>
                </c:pt>
                <c:pt idx="5">
                  <c:v>Carretera</c:v>
                </c:pt>
              </c:strCache>
            </c:strRef>
          </c:cat>
          <c:val>
            <c:numRef>
              <c:f>RELATORIOS!$G$3:$G$9</c:f>
              <c:numCache>
                <c:formatCode>0.00%;\-0.00%;0.00%</c:formatCode>
                <c:ptCount val="6"/>
                <c:pt idx="0">
                  <c:v>0.28345798809036404</c:v>
                </c:pt>
                <c:pt idx="1">
                  <c:v>0.17208433342942275</c:v>
                </c:pt>
                <c:pt idx="2">
                  <c:v>0.15725795180921165</c:v>
                </c:pt>
                <c:pt idx="3">
                  <c:v>0.14876849166789294</c:v>
                </c:pt>
                <c:pt idx="4">
                  <c:v>0.12543751519816859</c:v>
                </c:pt>
                <c:pt idx="5">
                  <c:v>0.11299371980494005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4D-41AD-8B2B-44A353B7F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8746032"/>
        <c:axId val="705863856"/>
      </c:lineChart>
      <c:catAx>
        <c:axId val="24874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5863856"/>
        <c:crosses val="autoZero"/>
        <c:auto val="1"/>
        <c:lblAlgn val="ctr"/>
        <c:lblOffset val="100"/>
        <c:noMultiLvlLbl val="0"/>
      </c:catAx>
      <c:valAx>
        <c:axId val="70586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R$&quot;#,##0.00_);\(&quot;R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8746032"/>
        <c:crosses val="autoZero"/>
        <c:crossBetween val="between"/>
      </c:valAx>
      <c:valAx>
        <c:axId val="705858576"/>
        <c:scaling>
          <c:orientation val="minMax"/>
        </c:scaling>
        <c:delete val="0"/>
        <c:axPos val="r"/>
        <c:numFmt formatCode="0.00%;\-0.00%;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8730256"/>
        <c:crosses val="max"/>
        <c:crossBetween val="between"/>
      </c:valAx>
      <c:catAx>
        <c:axId val="2487302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058585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11</xdr:row>
      <xdr:rowOff>14286</xdr:rowOff>
    </xdr:from>
    <xdr:to>
      <xdr:col>7</xdr:col>
      <xdr:colOff>180975</xdr:colOff>
      <xdr:row>31</xdr:row>
      <xdr:rowOff>95249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BFBF2D6-D252-26F0-A67B-73F90F2AC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uriston Neto" refreshedDate="46280.641212847222" createdVersion="5" refreshedVersion="8" minRefreshableVersion="3" recordCount="0" supportSubquery="1" supportAdvancedDrill="1" xr:uid="{095DE379-E7EB-4F87-9183-CEFBA0DD503E}">
  <cacheSource type="external" connectionId="1"/>
  <cacheFields count="6">
    <cacheField name="[financials].[Product].[Product]" caption="Product" numFmtId="0" hierarchy="2" level="1">
      <sharedItems count="6">
        <s v="Amarilla"/>
        <s v="Carretera"/>
        <s v="Montana"/>
        <s v="Paseo"/>
        <s v="Velo"/>
        <s v="VTT"/>
      </sharedItems>
      <extLst>
        <ext xmlns:x15="http://schemas.microsoft.com/office/spreadsheetml/2010/11/main" uri="{4F2E5C28-24EA-4eb8-9CBF-B6C8F9C3D259}">
          <x15:cachedUniqueNames>
            <x15:cachedUniqueName index="0" name="[financials].[Product].&amp;[Amarilla]"/>
            <x15:cachedUniqueName index="1" name="[financials].[Product].&amp;[Carretera]"/>
            <x15:cachedUniqueName index="2" name="[financials].[Product].&amp;[Montana]"/>
            <x15:cachedUniqueName index="3" name="[financials].[Product].&amp;[Paseo]"/>
            <x15:cachedUniqueName index="4" name="[financials].[Product].&amp;[Velo]"/>
            <x15:cachedUniqueName index="5" name="[financials].[Product].&amp;[VTT]"/>
          </x15:cachedUniqueNames>
        </ext>
      </extLst>
    </cacheField>
    <cacheField name="[Measures].[LUCRO_LIQ]" caption="LUCRO_LIQ" numFmtId="0" hierarchy="18" level="32767"/>
    <cacheField name="[Measures].[Ranking_Lucro]" caption="Ranking_Lucro" numFmtId="0" hierarchy="20" level="32767"/>
    <cacheField name="[Measures].[ABC_ACUM]" caption="ABC_ACUM" numFmtId="0" hierarchy="21" level="32767"/>
    <cacheField name="[Measures].[CURVA_ABC]" caption="CURVA_ABC" numFmtId="0" hierarchy="22" level="32767"/>
    <cacheField name="[Measures].[%_LUCRO_PROD]" caption="%_LUCRO_PROD" numFmtId="0" hierarchy="23" level="32767"/>
  </cacheFields>
  <cacheHierarchies count="26">
    <cacheHierarchy uniqueName="[financials].[Segment]" caption="Segment" attribute="1" defaultMemberUniqueName="[financials].[Segment].[All]" allUniqueName="[financials].[Segment].[All]" dimensionUniqueName="[financials]" displayFolder="" count="0" memberValueDatatype="130" unbalanced="0"/>
    <cacheHierarchy uniqueName="[financials].[Country]" caption="Country" attribute="1" defaultMemberUniqueName="[financials].[Country].[All]" allUniqueName="[financials].[Country].[All]" dimensionUniqueName="[financials]" displayFolder="" count="0" memberValueDatatype="130" unbalanced="0"/>
    <cacheHierarchy uniqueName="[financials].[Product]" caption="Product" attribute="1" defaultMemberUniqueName="[financials].[Product].[All]" allUniqueName="[financials].[Product].[All]" dimensionUniqueName="[financials]" displayFolder="" count="2" memberValueDatatype="130" unbalanced="0">
      <fieldsUsage count="2">
        <fieldUsage x="-1"/>
        <fieldUsage x="0"/>
      </fieldsUsage>
    </cacheHierarchy>
    <cacheHierarchy uniqueName="[financials].[Discount Band]" caption="Discount Band" attribute="1" defaultMemberUniqueName="[financials].[Discount Band].[All]" allUniqueName="[financials].[Discount Band].[All]" dimensionUniqueName="[financials]" displayFolder="" count="0" memberValueDatatype="130" unbalanced="0"/>
    <cacheHierarchy uniqueName="[financials].[Units Sold]" caption="Units Sold" attribute="1" defaultMemberUniqueName="[financials].[Units Sold].[All]" allUniqueName="[financials].[Units Sold].[All]" dimensionUniqueName="[financials]" displayFolder="" count="0" memberValueDatatype="5" unbalanced="0"/>
    <cacheHierarchy uniqueName="[financials].[Manufacturing Price]" caption="Manufacturing Price" attribute="1" defaultMemberUniqueName="[financials].[Manufacturing Price].[All]" allUniqueName="[financials].[Manufacturing Price].[All]" dimensionUniqueName="[financials]" displayFolder="" count="0" memberValueDatatype="20" unbalanced="0"/>
    <cacheHierarchy uniqueName="[financials].[Sale Price]" caption="Sale Price" attribute="1" defaultMemberUniqueName="[financials].[Sale Price].[All]" allUniqueName="[financials].[Sale Price].[All]" dimensionUniqueName="[financials]" displayFolder="" count="0" memberValueDatatype="20" unbalanced="0"/>
    <cacheHierarchy uniqueName="[financials].[Gross Sales]" caption="Gross Sales" attribute="1" defaultMemberUniqueName="[financials].[Gross Sales].[All]" allUniqueName="[financials].[Gross Sales].[All]" dimensionUniqueName="[financials]" displayFolder="" count="0" memberValueDatatype="5" unbalanced="0"/>
    <cacheHierarchy uniqueName="[financials].[Discounts]" caption="Discounts" attribute="1" defaultMemberUniqueName="[financials].[Discounts].[All]" allUniqueName="[financials].[Discounts].[All]" dimensionUniqueName="[financials]" displayFolder="" count="0" memberValueDatatype="5" unbalanced="0"/>
    <cacheHierarchy uniqueName="[financials].[Sales]" caption="Sales" attribute="1" defaultMemberUniqueName="[financials].[Sales].[All]" allUniqueName="[financials].[Sales].[All]" dimensionUniqueName="[financials]" displayFolder="" count="0" memberValueDatatype="5" unbalanced="0"/>
    <cacheHierarchy uniqueName="[financials].[COGS]" caption="COGS" attribute="1" defaultMemberUniqueName="[financials].[COGS].[All]" allUniqueName="[financials].[COGS].[All]" dimensionUniqueName="[financials]" displayFolder="" count="0" memberValueDatatype="5" unbalanced="0"/>
    <cacheHierarchy uniqueName="[financials].[Profit]" caption="Profit" attribute="1" defaultMemberUniqueName="[financials].[Profit].[All]" allUniqueName="[financials].[Profit].[All]" dimensionUniqueName="[financials]" displayFolder="" count="0" memberValueDatatype="5" unbalanced="0"/>
    <cacheHierarchy uniqueName="[financials].[Date]" caption="Date" attribute="1" time="1" defaultMemberUniqueName="[financials].[Date].[All]" allUniqueName="[financials].[Date].[All]" dimensionUniqueName="[financials]" displayFolder="" count="0" memberValueDatatype="7" unbalanced="0"/>
    <cacheHierarchy uniqueName="[financials].[Month Number]" caption="Month Number" attribute="1" defaultMemberUniqueName="[financials].[Month Number].[All]" allUniqueName="[financials].[Month Number].[All]" dimensionUniqueName="[financials]" displayFolder="" count="0" memberValueDatatype="20" unbalanced="0"/>
    <cacheHierarchy uniqueName="[financials].[Month Name]" caption="Month Name" attribute="1" defaultMemberUniqueName="[financials].[Month Name].[All]" allUniqueName="[financials].[Month Name].[All]" dimensionUniqueName="[financials]" displayFolder="" count="0" memberValueDatatype="130" unbalanced="0"/>
    <cacheHierarchy uniqueName="[financials].[Year]" caption="Year" attribute="1" defaultMemberUniqueName="[financials].[Year].[All]" allUniqueName="[financials].[Year].[All]" dimensionUniqueName="[financials]" displayFolder="" count="0" memberValueDatatype="130" unbalanced="0"/>
    <cacheHierarchy uniqueName="[Measures].[FAT_TT]" caption="FAT_TT" measure="1" displayFolder="" measureGroup="financials" count="0"/>
    <cacheHierarchy uniqueName="[Measures].[CUSTO_TT]" caption="CUSTO_TT" measure="1" displayFolder="" measureGroup="financials" count="0"/>
    <cacheHierarchy uniqueName="[Measures].[LUCRO_LIQ]" caption="LUCRO_LIQ" measure="1" displayFolder="" measureGroup="financials" count="0" oneField="1">
      <fieldsUsage count="1">
        <fieldUsage x="1"/>
      </fieldsUsage>
    </cacheHierarchy>
    <cacheHierarchy uniqueName="[Measures].[MARGEM_LUCRO]" caption="MARGEM_LUCRO" measure="1" displayFolder="" measureGroup="financials" count="0"/>
    <cacheHierarchy uniqueName="[Measures].[Ranking_Lucro]" caption="Ranking_Lucro" measure="1" displayFolder="" measureGroup="financials" count="0" oneField="1">
      <fieldsUsage count="1">
        <fieldUsage x="2"/>
      </fieldsUsage>
    </cacheHierarchy>
    <cacheHierarchy uniqueName="[Measures].[ABC_ACUM]" caption="ABC_ACUM" measure="1" displayFolder="" measureGroup="financials" count="0" oneField="1">
      <fieldsUsage count="1">
        <fieldUsage x="3"/>
      </fieldsUsage>
    </cacheHierarchy>
    <cacheHierarchy uniqueName="[Measures].[CURVA_ABC]" caption="CURVA_ABC" measure="1" displayFolder="" measureGroup="financials" count="0" oneField="1">
      <fieldsUsage count="1">
        <fieldUsage x="4"/>
      </fieldsUsage>
    </cacheHierarchy>
    <cacheHierarchy uniqueName="[Measures].[%_LUCRO_PROD]" caption="%_LUCRO_PROD" measure="1" displayFolder="" measureGroup="financials" count="0" oneField="1">
      <fieldsUsage count="1">
        <fieldUsage x="5"/>
      </fieldsUsage>
    </cacheHierarchy>
    <cacheHierarchy uniqueName="[Measures].[__XL_Count financials]" caption="__XL_Count financials" measure="1" displayFolder="" measureGroup="financials" count="0" hidden="1"/>
    <cacheHierarchy uniqueName="[Measures].[__Não há medidas definidas]" caption="__Não há medidas definidas" measure="1" displayFolder="" count="0" hidden="1"/>
  </cacheHierarchies>
  <kpis count="0"/>
  <dimensions count="2">
    <dimension name="financials" uniqueName="[financials]" caption="financials"/>
    <dimension measure="1" name="Measures" uniqueName="[Measures]" caption="Measures"/>
  </dimensions>
  <measureGroups count="1">
    <measureGroup name="financials" caption="financial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06269-3F9B-48CF-B615-2C4F2BB24FA7}" name="Tabela dinâmica1" cacheId="0" applyNumberFormats="0" applyBorderFormats="0" applyFontFormats="0" applyPatternFormats="0" applyAlignmentFormats="0" applyWidthHeightFormats="1" dataCaption="Valores" tag="3efc8ea5-a8cd-4270-9c0c-f43618ad6131" updatedVersion="8" minRefreshableVersion="3" useAutoFormatting="1" subtotalHiddenItems="1" itemPrintTitles="1" createdVersion="5" indent="0" outline="1" outlineData="1" multipleFieldFilters="0" chartFormat="5" rowHeaderCaption="PRODUTOS">
  <location ref="B2:G9" firstHeaderRow="0" firstDataRow="1" firstDataCol="1"/>
  <pivotFields count="6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7">
    <i>
      <x v="3"/>
    </i>
    <i>
      <x v="5"/>
    </i>
    <i>
      <x/>
    </i>
    <i>
      <x v="4"/>
    </i>
    <i>
      <x v="2"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</dataFields>
  <formats count="5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1">
          <reference field="0" count="0"/>
        </references>
      </pivotArea>
    </format>
    <format dxfId="15">
      <pivotArea dataOnly="0" labelOnly="1" grandRow="1" outline="0" fieldPosition="0"/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inancia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/>
    <tableColumn id="19" xr3:uid="{00000000-0010-0000-0000-000013000000}" name="Discount Band" dataDxfId="11"/>
    <tableColumn id="6" xr3:uid="{00000000-0010-0000-0000-000006000000}" name="Units Sold"/>
    <tableColumn id="7" xr3:uid="{00000000-0010-0000-0000-000007000000}" name="Manufacturing Price" dataDxfId="10"/>
    <tableColumn id="8" xr3:uid="{00000000-0010-0000-0000-000008000000}" name="Sale Price" dataDxfId="9"/>
    <tableColumn id="9" xr3:uid="{00000000-0010-0000-0000-000009000000}" name="Gross Sales" dataDxfId="8"/>
    <tableColumn id="10" xr3:uid="{00000000-0010-0000-0000-00000A000000}" name="Discounts" dataDxfId="7"/>
    <tableColumn id="11" xr3:uid="{00000000-0010-0000-0000-00000B000000}" name=" Sales" dataDxfId="6"/>
    <tableColumn id="12" xr3:uid="{00000000-0010-0000-0000-00000C000000}" name="COGS" dataDxfId="5"/>
    <tableColumn id="13" xr3:uid="{00000000-0010-0000-0000-00000D000000}" name="Profit" dataDxfId="4"/>
    <tableColumn id="4" xr3:uid="{00000000-0010-0000-0000-000004000000}" name="Date" dataDxfId="3"/>
    <tableColumn id="17" xr3:uid="{00000000-0010-0000-0000-000011000000}" name="Month Number" dataDxfId="2"/>
    <tableColumn id="18" xr3:uid="{00000000-0010-0000-0000-000012000000}" name="Month Name" dataDxfId="1"/>
    <tableColumn id="20" xr3:uid="{00000000-0010-0000-0000-000014000000}" name="Yea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84966-3743-4AFE-B954-7773825DB947}">
  <dimension ref="B2:G21"/>
  <sheetViews>
    <sheetView showGridLines="0" tabSelected="1" workbookViewId="0">
      <selection activeCell="P10" sqref="P10"/>
    </sheetView>
  </sheetViews>
  <sheetFormatPr defaultRowHeight="15" x14ac:dyDescent="0.25"/>
  <cols>
    <col min="2" max="3" width="15.42578125" style="11" bestFit="1" customWidth="1"/>
    <col min="4" max="4" width="13.85546875" style="11" bestFit="1" customWidth="1"/>
    <col min="5" max="5" width="11.28515625" style="11" bestFit="1" customWidth="1"/>
    <col min="6" max="6" width="11.85546875" style="11" bestFit="1" customWidth="1"/>
    <col min="7" max="7" width="15.7109375" bestFit="1" customWidth="1"/>
  </cols>
  <sheetData>
    <row r="2" spans="2:7" x14ac:dyDescent="0.25">
      <c r="B2" s="10" t="s">
        <v>52</v>
      </c>
      <c r="C2" s="11" t="s">
        <v>51</v>
      </c>
      <c r="D2" s="11" t="s">
        <v>53</v>
      </c>
      <c r="E2" s="11" t="s">
        <v>54</v>
      </c>
      <c r="F2" s="11" t="s">
        <v>55</v>
      </c>
      <c r="G2" s="11" t="s">
        <v>59</v>
      </c>
    </row>
    <row r="3" spans="2:7" x14ac:dyDescent="0.25">
      <c r="B3" s="11" t="s">
        <v>40</v>
      </c>
      <c r="C3" s="14">
        <v>7397956</v>
      </c>
      <c r="D3" s="11">
        <v>1</v>
      </c>
      <c r="E3" s="12">
        <v>0.28345798809036404</v>
      </c>
      <c r="F3" s="11" t="s">
        <v>56</v>
      </c>
      <c r="G3" s="12">
        <v>0.28345798809036404</v>
      </c>
    </row>
    <row r="4" spans="2:7" x14ac:dyDescent="0.25">
      <c r="B4" s="11" t="s">
        <v>42</v>
      </c>
      <c r="C4" s="14">
        <v>4491220.5</v>
      </c>
      <c r="D4" s="11">
        <v>2</v>
      </c>
      <c r="E4" s="12">
        <v>0.4555423215197868</v>
      </c>
      <c r="F4" s="11" t="s">
        <v>56</v>
      </c>
      <c r="G4" s="12">
        <v>0.17208433342942275</v>
      </c>
    </row>
    <row r="5" spans="2:7" x14ac:dyDescent="0.25">
      <c r="B5" s="11" t="s">
        <v>43</v>
      </c>
      <c r="C5" s="14">
        <v>4104267.5</v>
      </c>
      <c r="D5" s="11">
        <v>3</v>
      </c>
      <c r="E5" s="12">
        <v>0.61280027332899845</v>
      </c>
      <c r="F5" s="11" t="s">
        <v>56</v>
      </c>
      <c r="G5" s="12">
        <v>0.15725795180921165</v>
      </c>
    </row>
    <row r="6" spans="2:7" x14ac:dyDescent="0.25">
      <c r="B6" s="11" t="s">
        <v>41</v>
      </c>
      <c r="C6" s="14">
        <v>3882701.5</v>
      </c>
      <c r="D6" s="11">
        <v>4</v>
      </c>
      <c r="E6" s="12">
        <v>0.7615687649968913</v>
      </c>
      <c r="F6" s="11" t="s">
        <v>56</v>
      </c>
      <c r="G6" s="12">
        <v>0.14876849166789294</v>
      </c>
    </row>
    <row r="7" spans="2:7" x14ac:dyDescent="0.25">
      <c r="B7" s="11" t="s">
        <v>39</v>
      </c>
      <c r="C7" s="14">
        <v>3273787.5</v>
      </c>
      <c r="D7" s="11">
        <v>5</v>
      </c>
      <c r="E7" s="12">
        <v>0.88700628019506</v>
      </c>
      <c r="F7" s="11" t="s">
        <v>58</v>
      </c>
      <c r="G7" s="12">
        <v>0.12543751519816859</v>
      </c>
    </row>
    <row r="8" spans="2:7" x14ac:dyDescent="0.25">
      <c r="B8" s="11" t="s">
        <v>38</v>
      </c>
      <c r="C8" s="14">
        <v>2949017.5</v>
      </c>
      <c r="D8" s="11">
        <v>6</v>
      </c>
      <c r="E8" s="12">
        <v>1</v>
      </c>
      <c r="F8" s="11" t="s">
        <v>57</v>
      </c>
      <c r="G8" s="12">
        <v>0.11299371980494005</v>
      </c>
    </row>
    <row r="9" spans="2:7" x14ac:dyDescent="0.25">
      <c r="B9" s="11" t="s">
        <v>50</v>
      </c>
      <c r="C9" s="14">
        <v>26098950.5</v>
      </c>
      <c r="E9" s="12"/>
      <c r="G9" s="12">
        <v>1</v>
      </c>
    </row>
    <row r="21" spans="3:3" x14ac:dyDescent="0.25">
      <c r="C21" s="13"/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zoomScale="85" zoomScaleNormal="85" workbookViewId="0">
      <selection activeCell="H1" sqref="H1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3.140625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9C199DB8-4F2F-45D3-8E4B-80A518367414}">
  <ds:schemaRefs/>
</ds:datastoreItem>
</file>

<file path=customXml/itemProps2.xml><?xml version="1.0" encoding="utf-8"?>
<ds:datastoreItem xmlns:ds="http://schemas.openxmlformats.org/officeDocument/2006/customXml" ds:itemID="{59D0BC7A-A593-4808-A026-5AAAB466A639}">
  <ds:schemaRefs/>
</ds:datastoreItem>
</file>

<file path=customXml/itemProps3.xml><?xml version="1.0" encoding="utf-8"?>
<ds:datastoreItem xmlns:ds="http://schemas.openxmlformats.org/officeDocument/2006/customXml" ds:itemID="{20272BBC-5DAF-4F2A-8E59-CF5D563F7BE6}">
  <ds:schemaRefs/>
</ds:datastoreItem>
</file>

<file path=customXml/itemProps4.xml><?xml version="1.0" encoding="utf-8"?>
<ds:datastoreItem xmlns:ds="http://schemas.openxmlformats.org/officeDocument/2006/customXml" ds:itemID="{2968A329-E4D5-40E9-9BB9-CD5CBCD63452}">
  <ds:schemaRefs/>
</ds:datastoreItem>
</file>

<file path=customXml/itemProps5.xml><?xml version="1.0" encoding="utf-8"?>
<ds:datastoreItem xmlns:ds="http://schemas.openxmlformats.org/officeDocument/2006/customXml" ds:itemID="{17385043-A5D2-44D2-BBA1-3C29093C2D99}">
  <ds:schemaRefs/>
</ds:datastoreItem>
</file>

<file path=customXml/itemProps6.xml><?xml version="1.0" encoding="utf-8"?>
<ds:datastoreItem xmlns:ds="http://schemas.openxmlformats.org/officeDocument/2006/customXml" ds:itemID="{B6829C80-7C25-4B4D-9291-1B2AE6B621C2}">
  <ds:schemaRefs/>
</ds:datastoreItem>
</file>

<file path=customXml/itemProps7.xml><?xml version="1.0" encoding="utf-8"?>
<ds:datastoreItem xmlns:ds="http://schemas.openxmlformats.org/officeDocument/2006/customXml" ds:itemID="{ACBB7CD6-783F-4DAE-A642-73040E272F49}">
  <ds:schemaRefs/>
</ds:datastoreItem>
</file>

<file path=customXml/itemProps8.xml><?xml version="1.0" encoding="utf-8"?>
<ds:datastoreItem xmlns:ds="http://schemas.openxmlformats.org/officeDocument/2006/customXml" ds:itemID="{568204AE-4F6C-4E8F-ABB8-4735713F0633}">
  <ds:schemaRefs/>
</ds:datastoreItem>
</file>

<file path=customXml/itemProps9.xml><?xml version="1.0" encoding="utf-8"?>
<ds:datastoreItem xmlns:ds="http://schemas.openxmlformats.org/officeDocument/2006/customXml" ds:itemID="{781CCF9F-3A10-4A63-943C-69769FDAB082}">
  <ds:schemaRefs/>
</ds:datastoreItem>
</file>

<file path=customXml/itemProps10.xml><?xml version="1.0" encoding="utf-8"?>
<ds:datastoreItem xmlns:ds="http://schemas.openxmlformats.org/officeDocument/2006/customXml" ds:itemID="{653CE6FF-5555-40A4-BCEE-D727D066F04D}">
  <ds:schemaRefs/>
</ds:datastoreItem>
</file>

<file path=customXml/itemProps1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12.xml><?xml version="1.0" encoding="utf-8"?>
<ds:datastoreItem xmlns:ds="http://schemas.openxmlformats.org/officeDocument/2006/customXml" ds:itemID="{B944F56F-E114-4B47-81B6-9A0AB62B2717}">
  <ds:schemaRefs/>
</ds:datastoreItem>
</file>

<file path=customXml/itemProps1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1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15.xml><?xml version="1.0" encoding="utf-8"?>
<ds:datastoreItem xmlns:ds="http://schemas.openxmlformats.org/officeDocument/2006/customXml" ds:itemID="{B93C90D0-354D-49DF-A990-CB98446309DF}">
  <ds:schemaRefs/>
</ds:datastoreItem>
</file>

<file path=customXml/itemProps16.xml><?xml version="1.0" encoding="utf-8"?>
<ds:datastoreItem xmlns:ds="http://schemas.openxmlformats.org/officeDocument/2006/customXml" ds:itemID="{D6A351BA-F7ED-4783-8D9C-D6B49F2A6D64}">
  <ds:schemaRefs/>
</ds:datastoreItem>
</file>

<file path=customXml/itemProps17.xml><?xml version="1.0" encoding="utf-8"?>
<ds:datastoreItem xmlns:ds="http://schemas.openxmlformats.org/officeDocument/2006/customXml" ds:itemID="{A6B1F03F-BEE5-4319-B1EE-A750DE8F2527}">
  <ds:schemaRefs/>
</ds:datastoreItem>
</file>

<file path=customXml/itemProps18.xml><?xml version="1.0" encoding="utf-8"?>
<ds:datastoreItem xmlns:ds="http://schemas.openxmlformats.org/officeDocument/2006/customXml" ds:itemID="{7DF2EA5D-FB53-440F-B612-007DFA6131C8}">
  <ds:schemaRefs/>
</ds:datastoreItem>
</file>

<file path=customXml/itemProps19.xml><?xml version="1.0" encoding="utf-8"?>
<ds:datastoreItem xmlns:ds="http://schemas.openxmlformats.org/officeDocument/2006/customXml" ds:itemID="{8EBCBF5E-9A2B-4899-9CB9-918EEB573D06}">
  <ds:schemaRefs/>
</ds:datastoreItem>
</file>

<file path=customXml/itemProps20.xml><?xml version="1.0" encoding="utf-8"?>
<ds:datastoreItem xmlns:ds="http://schemas.openxmlformats.org/officeDocument/2006/customXml" ds:itemID="{738333BF-75FE-478E-8EE1-7D8E32A792A8}">
  <ds:schemaRefs/>
</ds:datastoreItem>
</file>

<file path=customXml/itemProps21.xml><?xml version="1.0" encoding="utf-8"?>
<ds:datastoreItem xmlns:ds="http://schemas.openxmlformats.org/officeDocument/2006/customXml" ds:itemID="{EC3C5A33-6E1F-4D00-994F-5F9A0AD35C6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RELATORIOS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Lauriston Neto</cp:lastModifiedBy>
  <dcterms:created xsi:type="dcterms:W3CDTF">2014-01-28T02:45:41Z</dcterms:created>
  <dcterms:modified xsi:type="dcterms:W3CDTF">2026-09-15T18:32:09Z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